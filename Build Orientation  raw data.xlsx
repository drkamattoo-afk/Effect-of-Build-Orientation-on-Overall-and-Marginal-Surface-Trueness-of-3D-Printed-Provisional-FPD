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BF7D61AE-E848-423F-A335-5F379DECB6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IC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2" l="1"/>
  <c r="R20" i="2"/>
  <c r="Q20" i="2"/>
  <c r="N20" i="2"/>
  <c r="M20" i="2"/>
  <c r="L20" i="2"/>
  <c r="I20" i="2"/>
  <c r="H20" i="2"/>
  <c r="G20" i="2"/>
  <c r="C20" i="2"/>
  <c r="D20" i="2"/>
  <c r="B20" i="2"/>
</calcChain>
</file>

<file path=xl/sharedStrings.xml><?xml version="1.0" encoding="utf-8"?>
<sst xmlns="http://schemas.openxmlformats.org/spreadsheetml/2006/main" count="29" uniqueCount="14">
  <si>
    <t>Premolar Marginal RMS</t>
  </si>
  <si>
    <t>Molar Marginal RMS</t>
  </si>
  <si>
    <t>0 degree</t>
  </si>
  <si>
    <t>45 degree</t>
  </si>
  <si>
    <t>90 degree</t>
  </si>
  <si>
    <t>Overall Root Mean Square deviation (all surfaces)</t>
  </si>
  <si>
    <t>Printing orientation</t>
  </si>
  <si>
    <t>Combined RMS (marginal area of premolar &amp; molar + tissue surface of the pontic) in micro m</t>
  </si>
  <si>
    <t>table 1</t>
  </si>
  <si>
    <t>table 2</t>
  </si>
  <si>
    <t>table 3</t>
  </si>
  <si>
    <t>Table 4</t>
  </si>
  <si>
    <t>Average RMS</t>
  </si>
  <si>
    <t>Total (Overall Fit) RMS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</si>
</sst>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workbookViewId="0">
      <selection activeCell="J26" sqref="J26"/>
    </sheetView>
  </sheetViews>
  <sheetFormatPr defaultRowHeight="15" x14ac:dyDescent="0.25"/>
  <cols>
    <col min="1" max="1" width="15.7109375" style="6" customWidth="1"/>
    <col min="2" max="5" width="9.140625" style="6"/>
    <col min="6" max="6" width="30" style="6" customWidth="1"/>
    <col min="7" max="10" width="9.140625" style="6"/>
    <col min="11" max="11" width="15" style="6" customWidth="1"/>
    <col min="12" max="12" width="14.5703125" style="6" customWidth="1"/>
    <col min="13" max="17" width="9.140625" style="6"/>
    <col min="18" max="18" width="19.28515625" style="6" bestFit="1" customWidth="1"/>
    <col min="19" max="16384" width="9.140625" style="6"/>
  </cols>
  <sheetData>
    <row r="1" spans="1:19" x14ac:dyDescent="0.25">
      <c r="A1" s="6" t="s">
        <v>8</v>
      </c>
      <c r="F1" s="6" t="s">
        <v>9</v>
      </c>
      <c r="K1" s="6" t="s">
        <v>10</v>
      </c>
      <c r="P1" s="6" t="s">
        <v>11</v>
      </c>
    </row>
    <row r="3" spans="1:19" s="17" customFormat="1" ht="30.75" customHeight="1" x14ac:dyDescent="0.25">
      <c r="A3" s="22" t="s">
        <v>5</v>
      </c>
      <c r="B3" s="23"/>
      <c r="C3" s="23"/>
      <c r="D3" s="24"/>
      <c r="F3" s="25" t="s">
        <v>7</v>
      </c>
      <c r="G3" s="26"/>
      <c r="H3" s="26"/>
      <c r="I3" s="27"/>
      <c r="K3" s="28" t="s">
        <v>0</v>
      </c>
      <c r="L3" s="29"/>
      <c r="M3" s="29"/>
      <c r="N3" s="30"/>
      <c r="P3" s="31" t="s">
        <v>1</v>
      </c>
      <c r="Q3" s="32"/>
      <c r="R3" s="32"/>
      <c r="S3" s="33"/>
    </row>
    <row r="4" spans="1:19" x14ac:dyDescent="0.25">
      <c r="A4" s="8"/>
      <c r="B4" s="8"/>
      <c r="C4" s="8"/>
      <c r="D4" s="8"/>
      <c r="F4" s="10"/>
      <c r="G4" s="10"/>
      <c r="H4" s="10"/>
      <c r="I4" s="10"/>
      <c r="K4" s="12"/>
      <c r="L4" s="12"/>
      <c r="M4" s="12"/>
      <c r="N4" s="12"/>
      <c r="P4" s="14"/>
      <c r="Q4" s="14"/>
      <c r="R4" s="14"/>
      <c r="S4" s="14"/>
    </row>
    <row r="5" spans="1:19" s="17" customFormat="1" ht="45" x14ac:dyDescent="0.25">
      <c r="A5" s="16" t="s">
        <v>6</v>
      </c>
      <c r="B5" s="15" t="s">
        <v>2</v>
      </c>
      <c r="C5" s="15" t="s">
        <v>3</v>
      </c>
      <c r="D5" s="15" t="s">
        <v>4</v>
      </c>
      <c r="F5" s="19" t="s">
        <v>6</v>
      </c>
      <c r="G5" s="18" t="s">
        <v>2</v>
      </c>
      <c r="H5" s="18" t="s">
        <v>3</v>
      </c>
      <c r="I5" s="18" t="s">
        <v>4</v>
      </c>
      <c r="K5" s="20" t="s">
        <v>6</v>
      </c>
      <c r="L5" s="20" t="s">
        <v>2</v>
      </c>
      <c r="M5" s="20" t="s">
        <v>3</v>
      </c>
      <c r="N5" s="20" t="s">
        <v>4</v>
      </c>
      <c r="P5" s="21" t="s">
        <v>6</v>
      </c>
      <c r="Q5" s="21" t="s">
        <v>2</v>
      </c>
      <c r="R5" s="21" t="s">
        <v>3</v>
      </c>
      <c r="S5" s="21" t="s">
        <v>4</v>
      </c>
    </row>
    <row r="6" spans="1:19" x14ac:dyDescent="0.25">
      <c r="A6" s="8"/>
      <c r="B6" s="8">
        <v>301</v>
      </c>
      <c r="C6" s="8">
        <v>289</v>
      </c>
      <c r="D6" s="8">
        <v>398</v>
      </c>
      <c r="F6" s="10"/>
      <c r="G6" s="10">
        <v>49</v>
      </c>
      <c r="H6" s="10">
        <v>71</v>
      </c>
      <c r="I6" s="10">
        <v>59</v>
      </c>
      <c r="K6" s="12"/>
      <c r="L6" s="12">
        <v>18</v>
      </c>
      <c r="M6" s="12">
        <v>31</v>
      </c>
      <c r="N6" s="12">
        <v>44</v>
      </c>
      <c r="P6" s="14"/>
      <c r="Q6" s="14">
        <v>43</v>
      </c>
      <c r="R6" s="14">
        <v>55</v>
      </c>
      <c r="S6" s="14">
        <v>62</v>
      </c>
    </row>
    <row r="7" spans="1:19" x14ac:dyDescent="0.25">
      <c r="A7" s="8"/>
      <c r="B7" s="8">
        <v>299</v>
      </c>
      <c r="C7" s="8">
        <v>356</v>
      </c>
      <c r="D7" s="8">
        <v>345</v>
      </c>
      <c r="F7" s="10"/>
      <c r="G7" s="10">
        <v>55</v>
      </c>
      <c r="H7" s="10">
        <v>60</v>
      </c>
      <c r="I7" s="10">
        <v>66</v>
      </c>
      <c r="K7" s="12"/>
      <c r="L7" s="12">
        <v>15</v>
      </c>
      <c r="M7" s="12">
        <v>32</v>
      </c>
      <c r="N7" s="12">
        <v>32</v>
      </c>
      <c r="P7" s="14"/>
      <c r="Q7" s="14">
        <v>49</v>
      </c>
      <c r="R7" s="14">
        <v>59</v>
      </c>
      <c r="S7" s="14">
        <v>54</v>
      </c>
    </row>
    <row r="8" spans="1:19" x14ac:dyDescent="0.25">
      <c r="A8" s="8"/>
      <c r="B8" s="8">
        <v>267</v>
      </c>
      <c r="C8" s="8">
        <v>344</v>
      </c>
      <c r="D8" s="8">
        <v>321</v>
      </c>
      <c r="F8" s="10"/>
      <c r="G8" s="10">
        <v>54</v>
      </c>
      <c r="H8" s="10">
        <v>66</v>
      </c>
      <c r="I8" s="10">
        <v>63</v>
      </c>
      <c r="K8" s="12"/>
      <c r="L8" s="12">
        <v>22</v>
      </c>
      <c r="M8" s="12">
        <v>25</v>
      </c>
      <c r="N8" s="12">
        <v>43</v>
      </c>
      <c r="P8" s="14"/>
      <c r="Q8" s="14">
        <v>55</v>
      </c>
      <c r="R8" s="14">
        <v>65</v>
      </c>
      <c r="S8" s="14">
        <v>74</v>
      </c>
    </row>
    <row r="9" spans="1:19" x14ac:dyDescent="0.25">
      <c r="A9" s="8"/>
      <c r="B9" s="8">
        <v>288</v>
      </c>
      <c r="C9" s="8">
        <v>301</v>
      </c>
      <c r="D9" s="8">
        <v>298</v>
      </c>
      <c r="F9" s="10"/>
      <c r="G9" s="10">
        <v>61</v>
      </c>
      <c r="H9" s="10">
        <v>65</v>
      </c>
      <c r="I9" s="10">
        <v>58</v>
      </c>
      <c r="K9" s="12"/>
      <c r="L9" s="12">
        <v>24</v>
      </c>
      <c r="M9" s="12">
        <v>21</v>
      </c>
      <c r="N9" s="12">
        <v>31</v>
      </c>
      <c r="P9" s="14"/>
      <c r="Q9" s="14">
        <v>56</v>
      </c>
      <c r="R9" s="14">
        <v>62</v>
      </c>
      <c r="S9" s="14">
        <v>66</v>
      </c>
    </row>
    <row r="10" spans="1:19" x14ac:dyDescent="0.25">
      <c r="A10" s="8"/>
      <c r="B10" s="8">
        <v>341</v>
      </c>
      <c r="C10" s="8">
        <v>310</v>
      </c>
      <c r="D10" s="8">
        <v>301</v>
      </c>
      <c r="F10" s="10"/>
      <c r="G10" s="10">
        <v>44</v>
      </c>
      <c r="H10" s="10">
        <v>59</v>
      </c>
      <c r="I10" s="10">
        <v>57</v>
      </c>
      <c r="K10" s="12"/>
      <c r="L10" s="12">
        <v>19</v>
      </c>
      <c r="M10" s="12">
        <v>20</v>
      </c>
      <c r="N10" s="12">
        <v>29</v>
      </c>
      <c r="P10" s="14"/>
      <c r="Q10" s="14">
        <v>54</v>
      </c>
      <c r="R10" s="14">
        <v>57</v>
      </c>
      <c r="S10" s="14">
        <v>51</v>
      </c>
    </row>
    <row r="11" spans="1:19" x14ac:dyDescent="0.25">
      <c r="A11" s="8"/>
      <c r="B11" s="8">
        <v>314</v>
      </c>
      <c r="C11" s="8">
        <v>264</v>
      </c>
      <c r="D11" s="8">
        <v>269</v>
      </c>
      <c r="F11" s="10"/>
      <c r="G11" s="10">
        <v>56</v>
      </c>
      <c r="H11" s="10">
        <v>77</v>
      </c>
      <c r="I11" s="10">
        <v>82</v>
      </c>
      <c r="K11" s="12"/>
      <c r="L11" s="12">
        <v>31</v>
      </c>
      <c r="M11" s="12">
        <v>33</v>
      </c>
      <c r="N11" s="12">
        <v>49</v>
      </c>
      <c r="P11" s="14"/>
      <c r="Q11" s="14">
        <v>39</v>
      </c>
      <c r="R11" s="14">
        <v>50</v>
      </c>
      <c r="S11" s="14">
        <v>65</v>
      </c>
    </row>
    <row r="12" spans="1:19" x14ac:dyDescent="0.25">
      <c r="A12" s="2"/>
      <c r="B12" s="8">
        <v>321</v>
      </c>
      <c r="C12" s="8">
        <v>308</v>
      </c>
      <c r="D12" s="8">
        <v>387</v>
      </c>
      <c r="F12" s="3"/>
      <c r="G12" s="10">
        <v>55</v>
      </c>
      <c r="H12" s="10">
        <v>79</v>
      </c>
      <c r="I12" s="10">
        <v>76</v>
      </c>
      <c r="K12" s="4"/>
      <c r="L12" s="12">
        <v>21</v>
      </c>
      <c r="M12" s="12">
        <v>28</v>
      </c>
      <c r="N12" s="12">
        <v>44</v>
      </c>
      <c r="P12" s="5"/>
      <c r="Q12" s="14">
        <v>45</v>
      </c>
      <c r="R12" s="14">
        <v>49</v>
      </c>
      <c r="S12" s="14">
        <v>52</v>
      </c>
    </row>
    <row r="13" spans="1:19" x14ac:dyDescent="0.25">
      <c r="A13" s="2"/>
      <c r="B13" s="8">
        <v>276</v>
      </c>
      <c r="C13" s="8">
        <v>288</v>
      </c>
      <c r="D13" s="8">
        <v>393</v>
      </c>
      <c r="F13" s="3"/>
      <c r="G13" s="10">
        <v>50</v>
      </c>
      <c r="H13" s="10">
        <v>57</v>
      </c>
      <c r="I13" s="10">
        <v>78</v>
      </c>
      <c r="K13" s="4"/>
      <c r="L13" s="12">
        <v>20</v>
      </c>
      <c r="M13" s="12">
        <v>31</v>
      </c>
      <c r="N13" s="12">
        <v>35</v>
      </c>
      <c r="P13" s="5"/>
      <c r="Q13" s="14">
        <v>48</v>
      </c>
      <c r="R13" s="14">
        <v>57</v>
      </c>
      <c r="S13" s="14">
        <v>69</v>
      </c>
    </row>
    <row r="14" spans="1:19" x14ac:dyDescent="0.25">
      <c r="A14" s="2"/>
      <c r="B14" s="8">
        <v>261</v>
      </c>
      <c r="C14" s="8">
        <v>328</v>
      </c>
      <c r="D14" s="8">
        <v>398</v>
      </c>
      <c r="F14" s="3"/>
      <c r="G14" s="10">
        <v>49</v>
      </c>
      <c r="H14" s="10">
        <v>60</v>
      </c>
      <c r="I14" s="10">
        <v>87</v>
      </c>
      <c r="K14" s="4"/>
      <c r="L14" s="12">
        <v>30</v>
      </c>
      <c r="M14" s="12">
        <v>27</v>
      </c>
      <c r="N14" s="12">
        <v>35</v>
      </c>
      <c r="P14" s="5"/>
      <c r="Q14" s="14">
        <v>39</v>
      </c>
      <c r="R14" s="14">
        <v>63</v>
      </c>
      <c r="S14" s="14">
        <v>71</v>
      </c>
    </row>
    <row r="15" spans="1:19" x14ac:dyDescent="0.25">
      <c r="A15" s="8"/>
      <c r="B15" s="8">
        <v>305</v>
      </c>
      <c r="C15" s="8">
        <v>333</v>
      </c>
      <c r="D15" s="8">
        <v>322</v>
      </c>
      <c r="F15" s="10"/>
      <c r="G15" s="10">
        <v>58</v>
      </c>
      <c r="H15" s="10">
        <v>62</v>
      </c>
      <c r="I15" s="10">
        <v>89</v>
      </c>
      <c r="K15" s="12"/>
      <c r="L15" s="12">
        <v>31</v>
      </c>
      <c r="M15" s="12">
        <v>24</v>
      </c>
      <c r="N15" s="12">
        <v>47</v>
      </c>
      <c r="P15" s="14"/>
      <c r="Q15" s="14">
        <v>51</v>
      </c>
      <c r="R15" s="14">
        <v>66</v>
      </c>
      <c r="S15" s="14">
        <v>59</v>
      </c>
    </row>
    <row r="16" spans="1:19" x14ac:dyDescent="0.25">
      <c r="A16" s="8"/>
      <c r="B16" s="8">
        <v>288</v>
      </c>
      <c r="C16" s="8">
        <v>310</v>
      </c>
      <c r="D16" s="8">
        <v>310</v>
      </c>
      <c r="F16" s="10"/>
      <c r="G16" s="10">
        <v>55</v>
      </c>
      <c r="H16" s="10">
        <v>66</v>
      </c>
      <c r="I16" s="10">
        <v>79</v>
      </c>
      <c r="K16" s="12"/>
      <c r="L16" s="12">
        <v>24</v>
      </c>
      <c r="M16" s="12">
        <v>19</v>
      </c>
      <c r="N16" s="12">
        <v>45</v>
      </c>
      <c r="P16" s="14"/>
      <c r="Q16" s="14">
        <v>50</v>
      </c>
      <c r="R16" s="14">
        <v>61</v>
      </c>
      <c r="S16" s="14">
        <v>63</v>
      </c>
    </row>
    <row r="17" spans="1:19" x14ac:dyDescent="0.25">
      <c r="A17" s="8"/>
      <c r="B17" s="8">
        <v>273</v>
      </c>
      <c r="C17" s="8">
        <v>275</v>
      </c>
      <c r="D17" s="8">
        <v>340</v>
      </c>
      <c r="F17" s="10"/>
      <c r="G17" s="10">
        <v>62</v>
      </c>
      <c r="H17" s="10">
        <v>79</v>
      </c>
      <c r="I17" s="10">
        <v>69</v>
      </c>
      <c r="K17" s="12"/>
      <c r="L17" s="12">
        <v>26</v>
      </c>
      <c r="M17" s="12">
        <v>27</v>
      </c>
      <c r="N17" s="12">
        <v>31</v>
      </c>
      <c r="P17" s="14"/>
      <c r="Q17" s="14">
        <v>47</v>
      </c>
      <c r="R17" s="14">
        <v>53</v>
      </c>
      <c r="S17" s="14">
        <v>66</v>
      </c>
    </row>
    <row r="18" spans="1:19" x14ac:dyDescent="0.25">
      <c r="A18" s="8"/>
      <c r="B18" s="8">
        <v>280</v>
      </c>
      <c r="C18" s="8">
        <v>335</v>
      </c>
      <c r="D18" s="8">
        <v>351</v>
      </c>
      <c r="F18" s="10"/>
      <c r="G18" s="10">
        <v>48</v>
      </c>
      <c r="H18" s="10">
        <v>51</v>
      </c>
      <c r="I18" s="10">
        <v>83</v>
      </c>
      <c r="K18" s="12"/>
      <c r="L18" s="12">
        <v>25</v>
      </c>
      <c r="M18" s="12">
        <v>32</v>
      </c>
      <c r="N18" s="12">
        <v>32</v>
      </c>
      <c r="P18" s="14"/>
      <c r="Q18" s="14">
        <v>48</v>
      </c>
      <c r="R18" s="14">
        <v>55</v>
      </c>
      <c r="S18" s="14">
        <v>58</v>
      </c>
    </row>
    <row r="19" spans="1:19" x14ac:dyDescent="0.25">
      <c r="A19" s="8"/>
      <c r="B19" s="8">
        <v>274</v>
      </c>
      <c r="C19" s="8">
        <v>340</v>
      </c>
      <c r="D19" s="8">
        <v>363</v>
      </c>
      <c r="F19" s="10"/>
      <c r="G19" s="10">
        <v>55</v>
      </c>
      <c r="H19" s="10">
        <v>61</v>
      </c>
      <c r="I19" s="10">
        <v>77</v>
      </c>
      <c r="K19" s="12"/>
      <c r="L19" s="12">
        <v>27</v>
      </c>
      <c r="M19" s="12">
        <v>30</v>
      </c>
      <c r="N19" s="12">
        <v>30</v>
      </c>
      <c r="P19" s="14"/>
      <c r="Q19" s="14">
        <v>45</v>
      </c>
      <c r="R19" s="14">
        <v>56</v>
      </c>
      <c r="S19" s="14">
        <v>62</v>
      </c>
    </row>
    <row r="20" spans="1:19" x14ac:dyDescent="0.25">
      <c r="A20" s="7" t="s">
        <v>12</v>
      </c>
      <c r="B20" s="7">
        <f>AVERAGE(B6:B19)</f>
        <v>292</v>
      </c>
      <c r="C20" s="7">
        <f>AVERAGE(C6:C19)</f>
        <v>312.92857142857144</v>
      </c>
      <c r="D20" s="7">
        <f>AVERAGE(D6:D19)</f>
        <v>342.57142857142856</v>
      </c>
      <c r="F20" s="10" t="s">
        <v>12</v>
      </c>
      <c r="G20" s="9">
        <f>AVERAGE(G6:G19)</f>
        <v>53.642857142857146</v>
      </c>
      <c r="H20" s="9">
        <f t="shared" ref="H20" si="0">AVERAGE(H6:H19)</f>
        <v>65.214285714285708</v>
      </c>
      <c r="I20" s="9">
        <f t="shared" ref="I20" si="1">AVERAGE(I6:I19)</f>
        <v>73.071428571428569</v>
      </c>
      <c r="K20" s="11" t="s">
        <v>12</v>
      </c>
      <c r="L20" s="11">
        <f>AVERAGE(L6:L19)</f>
        <v>23.785714285714285</v>
      </c>
      <c r="M20" s="11">
        <f t="shared" ref="M20" si="2">AVERAGE(M6:M19)</f>
        <v>27.142857142857142</v>
      </c>
      <c r="N20" s="11">
        <f t="shared" ref="N20" si="3">AVERAGE(N6:N19)</f>
        <v>37.642857142857146</v>
      </c>
      <c r="P20" s="13" t="s">
        <v>12</v>
      </c>
      <c r="Q20" s="13">
        <f>AVERAGE(Q6:Q19)</f>
        <v>47.785714285714285</v>
      </c>
      <c r="R20" s="13">
        <f t="shared" ref="R20" si="4">AVERAGE(R6:R19)</f>
        <v>57.714285714285715</v>
      </c>
      <c r="S20" s="13">
        <f t="shared" ref="S20" si="5">AVERAGE(S6:S19)</f>
        <v>62.285714285714285</v>
      </c>
    </row>
    <row r="27" spans="1:19" x14ac:dyDescent="0.25">
      <c r="L27" s="1"/>
      <c r="R27" s="1"/>
    </row>
    <row r="28" spans="1:19" x14ac:dyDescent="0.25">
      <c r="L28" s="1"/>
      <c r="R28" s="1"/>
    </row>
    <row r="29" spans="1:19" x14ac:dyDescent="0.25">
      <c r="L29" s="1"/>
      <c r="R29" s="1"/>
    </row>
  </sheetData>
  <mergeCells count="4">
    <mergeCell ref="A3:D3"/>
    <mergeCell ref="F3:I3"/>
    <mergeCell ref="K3:N3"/>
    <mergeCell ref="P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F4C1-90D6-4ED1-B414-F92C26565032}">
  <dimension ref="A1"/>
  <sheetViews>
    <sheetView tabSelected="1" workbookViewId="0">
      <selection activeCell="C9" sqref="C9"/>
    </sheetView>
  </sheetViews>
  <sheetFormatPr defaultColWidth="17.85546875" defaultRowHeight="15" x14ac:dyDescent="0.25"/>
  <sheetData>
    <row r="1" spans="1:1" s="34" customFormat="1" ht="60" x14ac:dyDescent="0.25">
      <c r="A1" s="3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2026-10-08T10:05:27Z</dcterms:modified>
</cp:coreProperties>
</file>